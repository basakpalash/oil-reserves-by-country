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B\oil-reserves-by-country\data\"/>
    </mc:Choice>
  </mc:AlternateContent>
  <xr:revisionPtr revIDLastSave="0" documentId="8_{4C0C1D6E-73EC-4A46-ADB1-9DF97B4FBFBF}" xr6:coauthVersionLast="47" xr6:coauthVersionMax="47" xr10:uidLastSave="{00000000-0000-0000-0000-000000000000}"/>
  <bookViews>
    <workbookView xWindow="-120" yWindow="-120" windowWidth="29040" windowHeight="15720" activeTab="1" xr2:uid="{57AD8D99-2A58-4150-8F43-2E7CA47944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2" l="1"/>
  <c r="E76" i="2"/>
  <c r="D76" i="2"/>
  <c r="C76" i="2"/>
  <c r="H76" i="2"/>
  <c r="G76" i="2"/>
  <c r="I76" i="2"/>
</calcChain>
</file>

<file path=xl/sharedStrings.xml><?xml version="1.0" encoding="utf-8"?>
<sst xmlns="http://schemas.openxmlformats.org/spreadsheetml/2006/main" count="186" uniqueCount="73">
  <si>
    <t>OECD Americas</t>
  </si>
  <si>
    <t>Canada</t>
  </si>
  <si>
    <t>Chile</t>
  </si>
  <si>
    <t>Mexico</t>
  </si>
  <si>
    <t>United States</t>
  </si>
  <si>
    <t>OECD Europe</t>
  </si>
  <si>
    <t>Denmark</t>
  </si>
  <si>
    <t>Norway</t>
  </si>
  <si>
    <t>United Kingdom</t>
  </si>
  <si>
    <t>Others</t>
  </si>
  <si>
    <t>OECD Asia Pacific</t>
  </si>
  <si>
    <t>Australia</t>
  </si>
  <si>
    <t>China</t>
  </si>
  <si>
    <t>India</t>
  </si>
  <si>
    <t>Other Asia</t>
  </si>
  <si>
    <t>Brunei</t>
  </si>
  <si>
    <t>Indonesia</t>
  </si>
  <si>
    <t>Malaysia</t>
  </si>
  <si>
    <t>Vietnam</t>
  </si>
  <si>
    <t>Latin America</t>
  </si>
  <si>
    <t>Argentina</t>
  </si>
  <si>
    <t>Brazil</t>
  </si>
  <si>
    <t>Colombia</t>
  </si>
  <si>
    <t>Ecuador</t>
  </si>
  <si>
    <t>Venezuela</t>
  </si>
  <si>
    <t>Middle East</t>
  </si>
  <si>
    <t>IR Iran</t>
  </si>
  <si>
    <t>Iraq</t>
  </si>
  <si>
    <t>Kuwait</t>
  </si>
  <si>
    <t>Oman</t>
  </si>
  <si>
    <t>Qatar</t>
  </si>
  <si>
    <t>Saudi Arabia</t>
  </si>
  <si>
    <t>United Arab Emirates</t>
  </si>
  <si>
    <t>Africa</t>
  </si>
  <si>
    <t>Algeria</t>
  </si>
  <si>
    <t>Angola</t>
  </si>
  <si>
    <t>Congo</t>
  </si>
  <si>
    <t>Egypt</t>
  </si>
  <si>
    <t>Equatorial Guinea</t>
  </si>
  <si>
    <t>Gabon</t>
  </si>
  <si>
    <t>Libya</t>
  </si>
  <si>
    <t>Nigeria</t>
  </si>
  <si>
    <t>Sudans</t>
  </si>
  <si>
    <t>Russia</t>
  </si>
  <si>
    <t>Other Eurasia</t>
  </si>
  <si>
    <t>Azerbaijan</t>
  </si>
  <si>
    <t>Belarus</t>
  </si>
  <si>
    <t>Kazakhstan</t>
  </si>
  <si>
    <t>Turkmenistan</t>
  </si>
  <si>
    <t>Ukraine</t>
  </si>
  <si>
    <t>Uzbekistan</t>
  </si>
  <si>
    <t>Other Europe</t>
  </si>
  <si>
    <t>Total world</t>
  </si>
  <si>
    <t>of which</t>
  </si>
  <si>
    <t>OPEC</t>
  </si>
  <si>
    <t>OPEC pecentage</t>
  </si>
  <si>
    <t>Non-OPEC DoC</t>
  </si>
  <si>
    <t>DoC</t>
  </si>
  <si>
    <t>Non-DoC</t>
  </si>
  <si>
    <t>change24/23</t>
  </si>
  <si>
    <t>Column1</t>
  </si>
  <si>
    <t>2020</t>
  </si>
  <si>
    <t>2021</t>
  </si>
  <si>
    <t>2022</t>
  </si>
  <si>
    <t>2023</t>
  </si>
  <si>
    <t>2024</t>
  </si>
  <si>
    <t>Total</t>
  </si>
  <si>
    <t>Country</t>
  </si>
  <si>
    <t>Continent</t>
  </si>
  <si>
    <t>North America</t>
  </si>
  <si>
    <t>South America</t>
  </si>
  <si>
    <t>Europe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</si>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</sst>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F8948-434B-4C23-B0AE-7ADD51952A08}" name="Table1" displayName="Table1" ref="B1:J76" totalsRowCount="1">
  <autoFilter ref="B1:J75" xr:uid="{81CF8948-434B-4C23-B0AE-7ADD51952A08}"/>
  <tableColumns count="9">
    <tableColumn id="1" xr3:uid="{0CEDEDC5-7C6A-4011-930E-40AD3B2B1861}" name="Column1" totalsRowLabel="Total"/>
    <tableColumn id="2" xr3:uid="{591E2852-2407-4C86-8C64-EB297AB9ED70}" name="2020" totalsRowFunction="sum"/>
    <tableColumn id="3" xr3:uid="{D9003A69-DAD0-460C-9922-0296A3B8DF39}" name="2021" totalsRowFunction="sum"/>
    <tableColumn id="4" xr3:uid="{671B216A-5BE7-40BA-B9F0-8F976B44EB61}" name="2022" totalsRowFunction="sum"/>
    <tableColumn id="5" xr3:uid="{7E050318-17B1-45AB-9BE9-1A52C3BE4D0B}" name="2023" totalsRowFunction="sum"/>
    <tableColumn id="6" xr3:uid="{884D50D5-E95B-4627-A909-4866F345DD84}" name="2024" totalsRowFunction="sum"/>
    <tableColumn id="7" xr3:uid="{080DB9F4-1626-4937-89FD-46B4596B0C1A}" name="change24/23" totalsRowFunction="sum"/>
    <tableColumn id="8" xr3:uid="{8136C249-7D1D-47DE-9F22-B69EA9E74A70}" name="Country" totalsRowFunction="sum"/>
    <tableColumn id="9" xr3:uid="{DB111182-2EE3-4492-B4C0-1A616573A28F}" name="Contin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D61D-293A-46AF-BB04-EB5576209D00}">
  <dimension ref="B1:I83"/>
  <sheetViews>
    <sheetView workbookViewId="0">
      <selection activeCell="B8" sqref="A1:XFD1048576"/>
    </sheetView>
  </sheetViews>
  <sheetFormatPr defaultRowHeight="15" x14ac:dyDescent="0.25"/>
  <cols>
    <col min="2" max="2" width="19.7109375" bestFit="1" customWidth="1"/>
    <col min="8" max="8" width="12.140625" bestFit="1" customWidth="1"/>
    <col min="9" max="9" width="17.28515625" customWidth="1"/>
  </cols>
  <sheetData>
    <row r="1" spans="2:9" x14ac:dyDescent="0.25">
      <c r="C1">
        <v>2020</v>
      </c>
      <c r="D1">
        <v>2021</v>
      </c>
      <c r="E1">
        <v>2022</v>
      </c>
      <c r="F1">
        <v>2023</v>
      </c>
      <c r="G1">
        <v>2024</v>
      </c>
      <c r="H1" t="s">
        <v>59</v>
      </c>
    </row>
    <row r="3" spans="2:9" x14ac:dyDescent="0.25">
      <c r="B3" t="s">
        <v>0</v>
      </c>
      <c r="C3">
        <v>45782</v>
      </c>
      <c r="D3">
        <v>52195</v>
      </c>
      <c r="E3">
        <v>55342</v>
      </c>
      <c r="F3">
        <v>53279</v>
      </c>
      <c r="G3">
        <v>54644</v>
      </c>
      <c r="H3">
        <v>1365</v>
      </c>
    </row>
    <row r="5" spans="2:9" x14ac:dyDescent="0.25">
      <c r="B5" t="s">
        <v>1</v>
      </c>
      <c r="C5">
        <v>4299</v>
      </c>
      <c r="D5">
        <v>4817</v>
      </c>
      <c r="E5">
        <v>4363</v>
      </c>
      <c r="F5">
        <v>4344</v>
      </c>
      <c r="G5">
        <v>4344</v>
      </c>
      <c r="H5">
        <v>0</v>
      </c>
      <c r="I5">
        <v>1</v>
      </c>
    </row>
    <row r="6" spans="2:9" x14ac:dyDescent="0.25">
      <c r="B6" t="s">
        <v>2</v>
      </c>
      <c r="C6">
        <v>150</v>
      </c>
      <c r="D6">
        <v>150</v>
      </c>
      <c r="E6">
        <v>150</v>
      </c>
      <c r="F6">
        <v>150</v>
      </c>
      <c r="G6">
        <v>150</v>
      </c>
      <c r="H6">
        <v>0</v>
      </c>
      <c r="I6">
        <v>1</v>
      </c>
    </row>
    <row r="7" spans="2:9" x14ac:dyDescent="0.25">
      <c r="B7" t="s">
        <v>3</v>
      </c>
      <c r="C7">
        <v>5498</v>
      </c>
      <c r="D7">
        <v>5618</v>
      </c>
      <c r="E7">
        <v>5558</v>
      </c>
      <c r="F7">
        <v>5293</v>
      </c>
      <c r="G7">
        <v>5136</v>
      </c>
      <c r="H7">
        <v>-157</v>
      </c>
      <c r="I7">
        <v>1</v>
      </c>
    </row>
    <row r="8" spans="2:9" x14ac:dyDescent="0.25">
      <c r="B8" t="s">
        <v>4</v>
      </c>
      <c r="C8">
        <v>35835</v>
      </c>
      <c r="D8">
        <v>41610</v>
      </c>
      <c r="E8">
        <v>45271</v>
      </c>
      <c r="F8">
        <v>43492</v>
      </c>
      <c r="G8">
        <v>45014</v>
      </c>
      <c r="H8">
        <v>1522</v>
      </c>
      <c r="I8">
        <v>1</v>
      </c>
    </row>
    <row r="10" spans="2:9" x14ac:dyDescent="0.25">
      <c r="B10" t="s">
        <v>5</v>
      </c>
      <c r="C10">
        <v>12412</v>
      </c>
      <c r="D10">
        <v>11772</v>
      </c>
      <c r="E10">
        <v>11251</v>
      </c>
      <c r="F10">
        <v>11115</v>
      </c>
      <c r="G10">
        <v>10399</v>
      </c>
      <c r="H10">
        <v>-716</v>
      </c>
    </row>
    <row r="12" spans="2:9" x14ac:dyDescent="0.25">
      <c r="B12" t="s">
        <v>6</v>
      </c>
      <c r="C12">
        <v>441</v>
      </c>
      <c r="D12">
        <v>428</v>
      </c>
      <c r="E12">
        <v>340</v>
      </c>
      <c r="F12">
        <v>346</v>
      </c>
      <c r="G12">
        <v>365</v>
      </c>
      <c r="H12">
        <v>19</v>
      </c>
      <c r="I12">
        <v>1</v>
      </c>
    </row>
    <row r="13" spans="2:9" x14ac:dyDescent="0.25">
      <c r="B13" t="s">
        <v>7</v>
      </c>
      <c r="C13">
        <v>7902</v>
      </c>
      <c r="D13">
        <v>7745</v>
      </c>
      <c r="E13">
        <v>7573</v>
      </c>
      <c r="F13">
        <v>7642</v>
      </c>
      <c r="G13">
        <v>6912</v>
      </c>
      <c r="H13">
        <v>-730</v>
      </c>
      <c r="I13">
        <v>1</v>
      </c>
    </row>
    <row r="14" spans="2:9" x14ac:dyDescent="0.25">
      <c r="B14" t="s">
        <v>8</v>
      </c>
      <c r="C14">
        <v>2500</v>
      </c>
      <c r="D14">
        <v>2000</v>
      </c>
      <c r="E14">
        <v>1800</v>
      </c>
      <c r="F14">
        <v>1500</v>
      </c>
      <c r="G14">
        <v>1500</v>
      </c>
      <c r="H14">
        <v>0</v>
      </c>
      <c r="I14">
        <v>1</v>
      </c>
    </row>
    <row r="15" spans="2:9" x14ac:dyDescent="0.25">
      <c r="B15" t="s">
        <v>9</v>
      </c>
      <c r="C15">
        <v>1569</v>
      </c>
      <c r="D15">
        <v>1599</v>
      </c>
      <c r="E15">
        <v>1538</v>
      </c>
      <c r="F15">
        <v>1627</v>
      </c>
      <c r="G15">
        <v>1622</v>
      </c>
      <c r="H15">
        <v>-5</v>
      </c>
      <c r="I15">
        <v>2</v>
      </c>
    </row>
    <row r="17" spans="2:9" x14ac:dyDescent="0.25">
      <c r="B17" t="s">
        <v>10</v>
      </c>
      <c r="C17">
        <v>2475</v>
      </c>
      <c r="D17">
        <v>1833</v>
      </c>
      <c r="E17">
        <v>1890</v>
      </c>
      <c r="F17">
        <v>1906</v>
      </c>
      <c r="G17">
        <v>1892</v>
      </c>
      <c r="H17">
        <v>-14</v>
      </c>
    </row>
    <row r="19" spans="2:9" x14ac:dyDescent="0.25">
      <c r="B19" t="s">
        <v>11</v>
      </c>
      <c r="C19">
        <v>2390</v>
      </c>
      <c r="D19">
        <v>1747</v>
      </c>
      <c r="E19">
        <v>1803</v>
      </c>
      <c r="F19">
        <v>1803</v>
      </c>
      <c r="G19">
        <v>1803</v>
      </c>
      <c r="H19">
        <v>0</v>
      </c>
      <c r="I19">
        <v>1</v>
      </c>
    </row>
    <row r="20" spans="2:9" x14ac:dyDescent="0.25">
      <c r="B20" t="s">
        <v>9</v>
      </c>
      <c r="C20">
        <v>85</v>
      </c>
      <c r="D20">
        <v>86</v>
      </c>
      <c r="E20">
        <v>87</v>
      </c>
      <c r="F20">
        <v>103</v>
      </c>
      <c r="G20">
        <v>89</v>
      </c>
      <c r="H20">
        <v>-14</v>
      </c>
      <c r="I20">
        <v>2</v>
      </c>
    </row>
    <row r="22" spans="2:9" x14ac:dyDescent="0.25">
      <c r="B22" t="s">
        <v>12</v>
      </c>
      <c r="C22">
        <v>26023</v>
      </c>
      <c r="D22">
        <v>26491</v>
      </c>
      <c r="E22">
        <v>27003</v>
      </c>
      <c r="F22">
        <v>27889</v>
      </c>
      <c r="G22">
        <v>28182</v>
      </c>
      <c r="H22">
        <v>293</v>
      </c>
      <c r="I22">
        <v>1</v>
      </c>
    </row>
    <row r="23" spans="2:9" x14ac:dyDescent="0.25">
      <c r="B23" t="s">
        <v>13</v>
      </c>
      <c r="C23">
        <v>4605</v>
      </c>
      <c r="D23">
        <v>4489</v>
      </c>
      <c r="E23">
        <v>4370</v>
      </c>
      <c r="F23">
        <v>4849</v>
      </c>
      <c r="G23">
        <v>4981</v>
      </c>
      <c r="H23">
        <v>132</v>
      </c>
      <c r="I23">
        <v>1</v>
      </c>
    </row>
    <row r="24" spans="2:9" x14ac:dyDescent="0.25">
      <c r="B24" t="s">
        <v>14</v>
      </c>
      <c r="C24">
        <v>12841</v>
      </c>
      <c r="D24">
        <v>12829</v>
      </c>
      <c r="E24">
        <v>11315</v>
      </c>
      <c r="F24">
        <v>11322</v>
      </c>
      <c r="G24">
        <v>11519</v>
      </c>
      <c r="H24">
        <v>197</v>
      </c>
    </row>
    <row r="25" spans="2:9" x14ac:dyDescent="0.25">
      <c r="B25" t="s">
        <v>15</v>
      </c>
      <c r="C25">
        <v>1100</v>
      </c>
      <c r="D25">
        <v>1100</v>
      </c>
      <c r="E25">
        <v>1100</v>
      </c>
      <c r="F25">
        <v>1100</v>
      </c>
      <c r="G25">
        <v>1100</v>
      </c>
      <c r="H25">
        <v>0</v>
      </c>
      <c r="I25">
        <v>1</v>
      </c>
    </row>
    <row r="26" spans="2:9" x14ac:dyDescent="0.25">
      <c r="B26" t="s">
        <v>16</v>
      </c>
      <c r="C26">
        <v>2480</v>
      </c>
      <c r="D26">
        <v>2440</v>
      </c>
      <c r="E26">
        <v>2250</v>
      </c>
      <c r="F26">
        <v>2270</v>
      </c>
      <c r="G26">
        <v>2410</v>
      </c>
      <c r="H26">
        <v>140</v>
      </c>
      <c r="I26">
        <v>1</v>
      </c>
    </row>
    <row r="27" spans="2:9" x14ac:dyDescent="0.25">
      <c r="B27" t="s">
        <v>17</v>
      </c>
      <c r="C27">
        <v>3600</v>
      </c>
      <c r="D27">
        <v>3600</v>
      </c>
      <c r="E27">
        <v>2700</v>
      </c>
      <c r="F27">
        <v>2700</v>
      </c>
      <c r="G27">
        <v>2700</v>
      </c>
      <c r="H27">
        <v>0</v>
      </c>
      <c r="I27">
        <v>1</v>
      </c>
    </row>
    <row r="28" spans="2:9" x14ac:dyDescent="0.25">
      <c r="B28" t="s">
        <v>18</v>
      </c>
      <c r="C28">
        <v>4400</v>
      </c>
      <c r="D28">
        <v>4400</v>
      </c>
      <c r="E28">
        <v>4400</v>
      </c>
      <c r="F28">
        <v>4400</v>
      </c>
      <c r="G28">
        <v>4400</v>
      </c>
      <c r="H28">
        <v>0</v>
      </c>
      <c r="I28">
        <v>1</v>
      </c>
    </row>
    <row r="29" spans="2:9" x14ac:dyDescent="0.25">
      <c r="B29" t="s">
        <v>9</v>
      </c>
      <c r="C29">
        <v>1261</v>
      </c>
      <c r="D29">
        <v>1289</v>
      </c>
      <c r="E29">
        <v>865</v>
      </c>
      <c r="F29">
        <v>852</v>
      </c>
      <c r="G29">
        <v>909</v>
      </c>
      <c r="H29">
        <v>57</v>
      </c>
      <c r="I29">
        <v>2</v>
      </c>
    </row>
    <row r="31" spans="2:9" x14ac:dyDescent="0.25">
      <c r="B31" t="s">
        <v>19</v>
      </c>
      <c r="C31">
        <v>330719</v>
      </c>
      <c r="D31">
        <v>340481</v>
      </c>
      <c r="E31">
        <v>342265</v>
      </c>
      <c r="F31">
        <v>343616</v>
      </c>
      <c r="G31">
        <v>344883</v>
      </c>
      <c r="H31">
        <v>1267</v>
      </c>
    </row>
    <row r="33" spans="2:9" x14ac:dyDescent="0.25">
      <c r="B33" t="s">
        <v>20</v>
      </c>
      <c r="C33">
        <v>2483</v>
      </c>
      <c r="D33">
        <v>2411</v>
      </c>
      <c r="E33">
        <v>2838</v>
      </c>
      <c r="F33">
        <v>2924</v>
      </c>
      <c r="G33">
        <v>2999</v>
      </c>
      <c r="H33">
        <v>75</v>
      </c>
      <c r="I33">
        <v>1</v>
      </c>
    </row>
    <row r="34" spans="2:9" x14ac:dyDescent="0.25">
      <c r="B34" t="s">
        <v>21</v>
      </c>
      <c r="C34">
        <v>12715</v>
      </c>
      <c r="D34">
        <v>11890</v>
      </c>
      <c r="E34">
        <v>13242</v>
      </c>
      <c r="F34">
        <v>14856</v>
      </c>
      <c r="G34">
        <v>15894</v>
      </c>
      <c r="H34">
        <v>1038</v>
      </c>
      <c r="I34">
        <v>1</v>
      </c>
    </row>
    <row r="35" spans="2:9" x14ac:dyDescent="0.25">
      <c r="B35" t="s">
        <v>22</v>
      </c>
      <c r="C35">
        <v>2036</v>
      </c>
      <c r="D35">
        <v>1820</v>
      </c>
      <c r="E35">
        <v>2040</v>
      </c>
      <c r="F35">
        <v>2074</v>
      </c>
      <c r="G35">
        <v>2019</v>
      </c>
      <c r="H35">
        <v>-55</v>
      </c>
      <c r="I35">
        <v>1</v>
      </c>
    </row>
    <row r="36" spans="2:9" x14ac:dyDescent="0.25">
      <c r="B36" t="s">
        <v>23</v>
      </c>
      <c r="C36">
        <v>8273</v>
      </c>
      <c r="D36">
        <v>8273</v>
      </c>
      <c r="E36">
        <v>8273</v>
      </c>
      <c r="F36">
        <v>8273</v>
      </c>
      <c r="G36">
        <v>8273</v>
      </c>
      <c r="H36">
        <v>0</v>
      </c>
      <c r="I36">
        <v>1</v>
      </c>
    </row>
    <row r="37" spans="2:9" x14ac:dyDescent="0.25">
      <c r="B37" t="s">
        <v>24</v>
      </c>
      <c r="C37">
        <v>303561</v>
      </c>
      <c r="D37">
        <v>303468</v>
      </c>
      <c r="E37">
        <v>303221</v>
      </c>
      <c r="F37">
        <v>303008</v>
      </c>
      <c r="G37">
        <v>303221</v>
      </c>
      <c r="H37">
        <v>213</v>
      </c>
      <c r="I37">
        <v>1</v>
      </c>
    </row>
    <row r="38" spans="2:9" x14ac:dyDescent="0.25">
      <c r="B38" t="s">
        <v>9</v>
      </c>
      <c r="C38">
        <v>1651</v>
      </c>
      <c r="D38">
        <v>12619</v>
      </c>
      <c r="E38">
        <v>12651</v>
      </c>
      <c r="F38">
        <v>12481</v>
      </c>
      <c r="G38">
        <v>12477</v>
      </c>
      <c r="H38">
        <v>-4</v>
      </c>
      <c r="I38">
        <v>2</v>
      </c>
    </row>
    <row r="40" spans="2:9" x14ac:dyDescent="0.25">
      <c r="B40" t="s">
        <v>25</v>
      </c>
      <c r="C40">
        <v>865519</v>
      </c>
      <c r="D40">
        <v>869612</v>
      </c>
      <c r="E40">
        <v>871095</v>
      </c>
      <c r="F40">
        <v>871182</v>
      </c>
      <c r="G40">
        <v>871218</v>
      </c>
      <c r="H40">
        <v>36</v>
      </c>
    </row>
    <row r="42" spans="2:9" x14ac:dyDescent="0.25">
      <c r="B42" t="s">
        <v>26</v>
      </c>
      <c r="C42">
        <v>208600</v>
      </c>
      <c r="D42">
        <v>208600</v>
      </c>
      <c r="E42">
        <v>208600</v>
      </c>
      <c r="F42">
        <v>208600</v>
      </c>
      <c r="G42">
        <v>208600</v>
      </c>
      <c r="H42">
        <v>0</v>
      </c>
      <c r="I42">
        <v>1</v>
      </c>
    </row>
    <row r="43" spans="2:9" x14ac:dyDescent="0.25">
      <c r="B43" t="s">
        <v>27</v>
      </c>
      <c r="C43">
        <v>145019</v>
      </c>
      <c r="D43">
        <v>145019</v>
      </c>
      <c r="E43">
        <v>145019</v>
      </c>
      <c r="F43">
        <v>145019</v>
      </c>
      <c r="G43">
        <v>145019</v>
      </c>
      <c r="H43">
        <v>0</v>
      </c>
      <c r="I43">
        <v>1</v>
      </c>
    </row>
    <row r="44" spans="2:9" x14ac:dyDescent="0.25">
      <c r="B44" t="s">
        <v>28</v>
      </c>
      <c r="C44">
        <v>101500</v>
      </c>
      <c r="D44">
        <v>101500</v>
      </c>
      <c r="E44">
        <v>101500</v>
      </c>
      <c r="F44">
        <v>101500</v>
      </c>
      <c r="G44">
        <v>101500</v>
      </c>
      <c r="H44">
        <v>0</v>
      </c>
      <c r="I44">
        <v>1</v>
      </c>
    </row>
    <row r="45" spans="2:9" x14ac:dyDescent="0.25">
      <c r="B45" t="s">
        <v>29</v>
      </c>
      <c r="C45">
        <v>5373</v>
      </c>
      <c r="D45">
        <v>5373</v>
      </c>
      <c r="E45">
        <v>4856</v>
      </c>
      <c r="F45">
        <v>4905</v>
      </c>
      <c r="G45">
        <v>4971</v>
      </c>
      <c r="H45">
        <v>66</v>
      </c>
      <c r="I45">
        <v>1</v>
      </c>
    </row>
    <row r="46" spans="2:9" x14ac:dyDescent="0.25">
      <c r="B46" t="s">
        <v>30</v>
      </c>
      <c r="C46">
        <v>25244</v>
      </c>
      <c r="D46">
        <v>25244</v>
      </c>
      <c r="E46">
        <v>25244</v>
      </c>
      <c r="F46">
        <v>25244</v>
      </c>
      <c r="G46">
        <v>25244</v>
      </c>
      <c r="H46">
        <v>0</v>
      </c>
      <c r="I46">
        <v>1</v>
      </c>
    </row>
    <row r="47" spans="2:9" x14ac:dyDescent="0.25">
      <c r="B47" t="s">
        <v>31</v>
      </c>
      <c r="C47">
        <v>267082</v>
      </c>
      <c r="D47">
        <v>267192</v>
      </c>
      <c r="E47">
        <v>267192</v>
      </c>
      <c r="F47">
        <v>267230</v>
      </c>
      <c r="G47">
        <v>267200</v>
      </c>
      <c r="H47">
        <v>-30</v>
      </c>
      <c r="I47">
        <v>1</v>
      </c>
    </row>
    <row r="48" spans="2:9" x14ac:dyDescent="0.25">
      <c r="B48" t="s">
        <v>32</v>
      </c>
      <c r="C48">
        <v>107000</v>
      </c>
      <c r="D48">
        <v>111000</v>
      </c>
      <c r="E48">
        <v>113000</v>
      </c>
      <c r="F48">
        <v>113000</v>
      </c>
      <c r="G48">
        <v>113000</v>
      </c>
      <c r="H48">
        <v>0</v>
      </c>
      <c r="I48">
        <v>1</v>
      </c>
    </row>
    <row r="49" spans="2:9" x14ac:dyDescent="0.25">
      <c r="B49" t="s">
        <v>9</v>
      </c>
      <c r="C49">
        <v>5701</v>
      </c>
      <c r="D49">
        <v>5684</v>
      </c>
      <c r="E49">
        <v>5684</v>
      </c>
      <c r="F49">
        <v>5684</v>
      </c>
      <c r="G49">
        <v>5684</v>
      </c>
      <c r="H49">
        <v>0</v>
      </c>
      <c r="I49">
        <v>2</v>
      </c>
    </row>
    <row r="51" spans="2:9" x14ac:dyDescent="0.25">
      <c r="B51" t="s">
        <v>33</v>
      </c>
      <c r="C51">
        <v>123449</v>
      </c>
      <c r="D51">
        <v>119099</v>
      </c>
      <c r="E51">
        <v>119050</v>
      </c>
      <c r="F51">
        <v>119583</v>
      </c>
      <c r="G51">
        <v>119363</v>
      </c>
      <c r="H51">
        <v>-220</v>
      </c>
    </row>
    <row r="53" spans="2:9" x14ac:dyDescent="0.25">
      <c r="B53" t="s">
        <v>34</v>
      </c>
      <c r="C53">
        <v>12200</v>
      </c>
      <c r="D53">
        <v>12200</v>
      </c>
      <c r="E53">
        <v>12200</v>
      </c>
      <c r="F53">
        <v>12200</v>
      </c>
      <c r="G53">
        <v>12200</v>
      </c>
      <c r="H53">
        <v>0</v>
      </c>
      <c r="I53">
        <v>1</v>
      </c>
    </row>
    <row r="54" spans="2:9" x14ac:dyDescent="0.25">
      <c r="B54" t="s">
        <v>35</v>
      </c>
      <c r="C54">
        <v>7231</v>
      </c>
      <c r="D54">
        <v>2516</v>
      </c>
      <c r="E54">
        <v>2550</v>
      </c>
      <c r="F54">
        <v>2550</v>
      </c>
      <c r="G54">
        <v>2550</v>
      </c>
      <c r="H54">
        <v>0</v>
      </c>
      <c r="I54">
        <v>1</v>
      </c>
    </row>
    <row r="55" spans="2:9" x14ac:dyDescent="0.25">
      <c r="B55" t="s">
        <v>36</v>
      </c>
      <c r="C55">
        <v>1811</v>
      </c>
      <c r="D55">
        <v>1811</v>
      </c>
      <c r="E55">
        <v>1811</v>
      </c>
      <c r="F55">
        <v>1811</v>
      </c>
      <c r="G55">
        <v>1811</v>
      </c>
      <c r="H55">
        <v>0</v>
      </c>
      <c r="I55">
        <v>1</v>
      </c>
    </row>
    <row r="56" spans="2:9" x14ac:dyDescent="0.25">
      <c r="B56" t="s">
        <v>37</v>
      </c>
      <c r="C56">
        <v>3075</v>
      </c>
      <c r="D56">
        <v>3300</v>
      </c>
      <c r="E56">
        <v>3300</v>
      </c>
      <c r="F56">
        <v>3300</v>
      </c>
      <c r="G56">
        <v>3300</v>
      </c>
      <c r="H56">
        <v>0</v>
      </c>
      <c r="I56">
        <v>1</v>
      </c>
    </row>
    <row r="57" spans="2:9" x14ac:dyDescent="0.25">
      <c r="B57" t="s">
        <v>38</v>
      </c>
      <c r="C57">
        <v>1100</v>
      </c>
      <c r="D57">
        <v>1100</v>
      </c>
      <c r="E57">
        <v>1100</v>
      </c>
      <c r="F57">
        <v>1100</v>
      </c>
      <c r="G57">
        <v>1100</v>
      </c>
      <c r="H57">
        <v>0</v>
      </c>
      <c r="I57">
        <v>1</v>
      </c>
    </row>
    <row r="58" spans="2:9" x14ac:dyDescent="0.25">
      <c r="B58" t="s">
        <v>39</v>
      </c>
      <c r="C58">
        <v>2000</v>
      </c>
      <c r="D58">
        <v>2000</v>
      </c>
      <c r="E58">
        <v>2000</v>
      </c>
      <c r="F58">
        <v>2000</v>
      </c>
      <c r="G58">
        <v>2000</v>
      </c>
      <c r="H58">
        <v>0</v>
      </c>
      <c r="I58">
        <v>1</v>
      </c>
    </row>
    <row r="59" spans="2:9" x14ac:dyDescent="0.25">
      <c r="B59" t="s">
        <v>40</v>
      </c>
      <c r="C59">
        <v>48363</v>
      </c>
      <c r="D59">
        <v>48363</v>
      </c>
      <c r="E59">
        <v>48363</v>
      </c>
      <c r="F59">
        <v>48363</v>
      </c>
      <c r="G59">
        <v>48363</v>
      </c>
      <c r="H59">
        <v>0</v>
      </c>
      <c r="I59">
        <v>1</v>
      </c>
    </row>
    <row r="60" spans="2:9" x14ac:dyDescent="0.25">
      <c r="B60" t="s">
        <v>41</v>
      </c>
      <c r="C60">
        <v>36910</v>
      </c>
      <c r="D60">
        <v>37050</v>
      </c>
      <c r="E60">
        <v>36967</v>
      </c>
      <c r="F60">
        <v>37500</v>
      </c>
      <c r="G60">
        <v>37280</v>
      </c>
      <c r="H60">
        <v>-220</v>
      </c>
      <c r="I60">
        <v>1</v>
      </c>
    </row>
    <row r="61" spans="2:9" x14ac:dyDescent="0.25">
      <c r="B61" t="s">
        <v>42</v>
      </c>
      <c r="C61">
        <v>5000</v>
      </c>
      <c r="D61">
        <v>5000</v>
      </c>
      <c r="E61">
        <v>5000</v>
      </c>
      <c r="F61">
        <v>5000</v>
      </c>
      <c r="G61">
        <v>5000</v>
      </c>
      <c r="H61">
        <v>0</v>
      </c>
      <c r="I61">
        <v>1</v>
      </c>
    </row>
    <row r="62" spans="2:9" x14ac:dyDescent="0.25">
      <c r="B62" t="s">
        <v>9</v>
      </c>
      <c r="C62">
        <v>5759</v>
      </c>
      <c r="D62">
        <v>5759</v>
      </c>
      <c r="E62">
        <v>5759</v>
      </c>
      <c r="F62">
        <v>5759</v>
      </c>
      <c r="G62">
        <v>5759</v>
      </c>
      <c r="H62">
        <v>0</v>
      </c>
      <c r="I62">
        <v>2</v>
      </c>
    </row>
    <row r="64" spans="2:9" x14ac:dyDescent="0.25">
      <c r="B64" t="s">
        <v>43</v>
      </c>
      <c r="C64">
        <v>80000</v>
      </c>
      <c r="D64">
        <v>80000</v>
      </c>
      <c r="E64">
        <v>80000</v>
      </c>
      <c r="F64">
        <v>80000</v>
      </c>
      <c r="G64">
        <v>80000</v>
      </c>
      <c r="H64">
        <v>0</v>
      </c>
      <c r="I64">
        <v>1</v>
      </c>
    </row>
    <row r="66" spans="2:9" x14ac:dyDescent="0.25">
      <c r="B66" t="s">
        <v>44</v>
      </c>
      <c r="C66">
        <v>38874</v>
      </c>
      <c r="D66">
        <v>38874</v>
      </c>
      <c r="E66">
        <v>38874</v>
      </c>
      <c r="F66">
        <v>38874</v>
      </c>
      <c r="G66">
        <v>38874</v>
      </c>
      <c r="H66">
        <v>0</v>
      </c>
    </row>
    <row r="68" spans="2:9" x14ac:dyDescent="0.25">
      <c r="B68" t="s">
        <v>45</v>
      </c>
      <c r="C68">
        <v>7000</v>
      </c>
      <c r="D68">
        <v>7000</v>
      </c>
      <c r="E68">
        <v>7000</v>
      </c>
      <c r="F68">
        <v>7000</v>
      </c>
      <c r="G68">
        <v>7000</v>
      </c>
      <c r="H68">
        <v>0</v>
      </c>
      <c r="I68">
        <v>1</v>
      </c>
    </row>
    <row r="69" spans="2:9" x14ac:dyDescent="0.25">
      <c r="B69" t="s">
        <v>46</v>
      </c>
      <c r="C69">
        <v>198</v>
      </c>
      <c r="D69">
        <v>198</v>
      </c>
      <c r="E69">
        <v>198</v>
      </c>
      <c r="F69">
        <v>198</v>
      </c>
      <c r="G69">
        <v>198</v>
      </c>
      <c r="H69">
        <v>0</v>
      </c>
      <c r="I69">
        <v>1</v>
      </c>
    </row>
    <row r="70" spans="2:9" x14ac:dyDescent="0.25">
      <c r="B70" t="s">
        <v>47</v>
      </c>
      <c r="C70">
        <v>30000</v>
      </c>
      <c r="D70">
        <v>30000</v>
      </c>
      <c r="E70">
        <v>30000</v>
      </c>
      <c r="F70">
        <v>30000</v>
      </c>
      <c r="G70">
        <v>30000</v>
      </c>
      <c r="H70">
        <v>0</v>
      </c>
      <c r="I70">
        <v>1</v>
      </c>
    </row>
    <row r="71" spans="2:9" x14ac:dyDescent="0.25">
      <c r="B71" t="s">
        <v>48</v>
      </c>
      <c r="C71">
        <v>600</v>
      </c>
      <c r="D71">
        <v>600</v>
      </c>
      <c r="E71">
        <v>600</v>
      </c>
      <c r="F71">
        <v>600</v>
      </c>
      <c r="G71">
        <v>600</v>
      </c>
      <c r="H71">
        <v>0</v>
      </c>
      <c r="I71">
        <v>1</v>
      </c>
    </row>
    <row r="72" spans="2:9" x14ac:dyDescent="0.25">
      <c r="B72" t="s">
        <v>49</v>
      </c>
      <c r="C72">
        <v>395</v>
      </c>
      <c r="D72">
        <v>395</v>
      </c>
      <c r="E72">
        <v>395</v>
      </c>
      <c r="F72">
        <v>395</v>
      </c>
      <c r="G72">
        <v>395</v>
      </c>
      <c r="H72">
        <v>0</v>
      </c>
      <c r="I72">
        <v>1</v>
      </c>
    </row>
    <row r="73" spans="2:9" x14ac:dyDescent="0.25">
      <c r="B73" t="s">
        <v>50</v>
      </c>
      <c r="C73">
        <v>594</v>
      </c>
      <c r="D73">
        <v>594</v>
      </c>
      <c r="E73">
        <v>594</v>
      </c>
      <c r="F73">
        <v>594</v>
      </c>
      <c r="G73">
        <v>594</v>
      </c>
      <c r="H73">
        <v>0</v>
      </c>
      <c r="I73">
        <v>1</v>
      </c>
    </row>
    <row r="74" spans="2:9" x14ac:dyDescent="0.25">
      <c r="B74" t="s">
        <v>9</v>
      </c>
      <c r="C74">
        <v>87</v>
      </c>
      <c r="D74">
        <v>87</v>
      </c>
      <c r="E74">
        <v>87</v>
      </c>
      <c r="F74">
        <v>87</v>
      </c>
      <c r="G74">
        <v>87</v>
      </c>
      <c r="H74">
        <v>0</v>
      </c>
      <c r="I74">
        <v>2</v>
      </c>
    </row>
    <row r="75" spans="2:9" x14ac:dyDescent="0.25">
      <c r="B75" t="s">
        <v>51</v>
      </c>
      <c r="C75">
        <v>914</v>
      </c>
      <c r="D75">
        <v>914</v>
      </c>
      <c r="E75">
        <v>914</v>
      </c>
      <c r="F75">
        <v>914</v>
      </c>
      <c r="G75">
        <v>914</v>
      </c>
      <c r="H75">
        <v>0</v>
      </c>
      <c r="I75">
        <v>2</v>
      </c>
    </row>
    <row r="77" spans="2:9" x14ac:dyDescent="0.25">
      <c r="B77" t="s">
        <v>52</v>
      </c>
      <c r="C77">
        <v>1543613</v>
      </c>
      <c r="D77">
        <v>1558589</v>
      </c>
      <c r="E77">
        <v>1563369</v>
      </c>
      <c r="F77">
        <v>1564529</v>
      </c>
      <c r="G77">
        <v>1566869</v>
      </c>
      <c r="H77">
        <v>2340</v>
      </c>
    </row>
    <row r="78" spans="2:9" x14ac:dyDescent="0.25">
      <c r="B78" t="s">
        <v>53</v>
      </c>
    </row>
    <row r="79" spans="2:9" x14ac:dyDescent="0.25">
      <c r="B79" t="s">
        <v>54</v>
      </c>
      <c r="C79">
        <v>1235146</v>
      </c>
      <c r="D79">
        <v>1239303</v>
      </c>
      <c r="E79">
        <v>1240973</v>
      </c>
      <c r="F79">
        <v>1241331</v>
      </c>
      <c r="G79">
        <v>1241294</v>
      </c>
      <c r="H79">
        <v>-37</v>
      </c>
    </row>
    <row r="80" spans="2:9" x14ac:dyDescent="0.25">
      <c r="B80" t="s">
        <v>55</v>
      </c>
      <c r="C80">
        <v>80</v>
      </c>
      <c r="D80">
        <v>79.5</v>
      </c>
      <c r="E80">
        <v>79.400000000000006</v>
      </c>
      <c r="F80">
        <v>79.3</v>
      </c>
      <c r="G80">
        <v>79.2</v>
      </c>
    </row>
    <row r="81" spans="2:8" x14ac:dyDescent="0.25">
      <c r="B81" t="s">
        <v>56</v>
      </c>
      <c r="C81">
        <v>137758</v>
      </c>
      <c r="D81">
        <v>137861</v>
      </c>
      <c r="E81">
        <v>136384</v>
      </c>
      <c r="F81">
        <v>136168</v>
      </c>
      <c r="G81">
        <v>136077</v>
      </c>
      <c r="H81">
        <v>-91</v>
      </c>
    </row>
    <row r="82" spans="2:8" x14ac:dyDescent="0.25">
      <c r="B82" t="s">
        <v>57</v>
      </c>
      <c r="C82">
        <v>1372904</v>
      </c>
      <c r="D82">
        <v>1377164</v>
      </c>
      <c r="E82">
        <v>1377357</v>
      </c>
      <c r="F82">
        <v>1377499</v>
      </c>
      <c r="G82">
        <v>1377371</v>
      </c>
      <c r="H82">
        <v>-128</v>
      </c>
    </row>
    <row r="83" spans="2:8" x14ac:dyDescent="0.25">
      <c r="B83" t="s">
        <v>58</v>
      </c>
      <c r="C83">
        <v>170709</v>
      </c>
      <c r="D83">
        <v>181425</v>
      </c>
      <c r="E83">
        <v>186012</v>
      </c>
      <c r="F83">
        <v>187030</v>
      </c>
      <c r="G83">
        <v>189498</v>
      </c>
      <c r="H83">
        <v>2468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1AE7-6A31-478B-92C5-3FDADD0E5BE5}">
  <dimension ref="B1:J78"/>
  <sheetViews>
    <sheetView tabSelected="1" workbookViewId="0">
      <selection activeCell="I2" sqref="I2:I75"/>
    </sheetView>
  </sheetViews>
  <sheetFormatPr defaultRowHeight="15" x14ac:dyDescent="0.25"/>
  <cols>
    <col min="2" max="2" width="19.7109375" bestFit="1" customWidth="1"/>
    <col min="3" max="9" width="15.5703125" customWidth="1"/>
  </cols>
  <sheetData>
    <row r="1" spans="2:10" x14ac:dyDescent="0.25"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59</v>
      </c>
      <c r="I1" t="s">
        <v>67</v>
      </c>
      <c r="J1" t="s">
        <v>68</v>
      </c>
    </row>
    <row r="3" spans="2:10" x14ac:dyDescent="0.25">
      <c r="B3" t="s">
        <v>0</v>
      </c>
      <c r="C3">
        <v>45782</v>
      </c>
      <c r="D3">
        <v>52195</v>
      </c>
      <c r="E3">
        <v>55342</v>
      </c>
      <c r="F3">
        <v>53279</v>
      </c>
      <c r="G3">
        <v>54644</v>
      </c>
      <c r="H3">
        <v>1365</v>
      </c>
    </row>
    <row r="5" spans="2:10" x14ac:dyDescent="0.25">
      <c r="B5" t="s">
        <v>1</v>
      </c>
      <c r="C5">
        <v>4299</v>
      </c>
      <c r="D5">
        <v>4817</v>
      </c>
      <c r="E5">
        <v>4363</v>
      </c>
      <c r="F5">
        <v>4344</v>
      </c>
      <c r="G5">
        <v>4344</v>
      </c>
      <c r="H5">
        <v>0</v>
      </c>
      <c r="I5">
        <v>1</v>
      </c>
      <c r="J5" t="s">
        <v>69</v>
      </c>
    </row>
    <row r="6" spans="2:10" x14ac:dyDescent="0.25">
      <c r="B6" t="s">
        <v>2</v>
      </c>
      <c r="C6">
        <v>150</v>
      </c>
      <c r="D6">
        <v>150</v>
      </c>
      <c r="E6">
        <v>150</v>
      </c>
      <c r="F6">
        <v>150</v>
      </c>
      <c r="G6">
        <v>150</v>
      </c>
      <c r="H6">
        <v>0</v>
      </c>
      <c r="I6">
        <v>1</v>
      </c>
      <c r="J6" t="s">
        <v>70</v>
      </c>
    </row>
    <row r="7" spans="2:10" x14ac:dyDescent="0.25">
      <c r="B7" t="s">
        <v>3</v>
      </c>
      <c r="C7">
        <v>5498</v>
      </c>
      <c r="D7">
        <v>5618</v>
      </c>
      <c r="E7">
        <v>5558</v>
      </c>
      <c r="F7">
        <v>5293</v>
      </c>
      <c r="G7">
        <v>5136</v>
      </c>
      <c r="H7">
        <v>-157</v>
      </c>
      <c r="I7">
        <v>1</v>
      </c>
      <c r="J7" t="s">
        <v>69</v>
      </c>
    </row>
    <row r="8" spans="2:10" x14ac:dyDescent="0.25">
      <c r="B8" t="s">
        <v>4</v>
      </c>
      <c r="C8">
        <v>35835</v>
      </c>
      <c r="D8">
        <v>41610</v>
      </c>
      <c r="E8">
        <v>45271</v>
      </c>
      <c r="F8">
        <v>43492</v>
      </c>
      <c r="G8">
        <v>45014</v>
      </c>
      <c r="H8">
        <v>1522</v>
      </c>
      <c r="I8">
        <v>1</v>
      </c>
      <c r="J8" t="s">
        <v>69</v>
      </c>
    </row>
    <row r="10" spans="2:10" x14ac:dyDescent="0.25">
      <c r="B10" t="s">
        <v>5</v>
      </c>
      <c r="C10">
        <v>12412</v>
      </c>
      <c r="D10">
        <v>11772</v>
      </c>
      <c r="E10">
        <v>11251</v>
      </c>
      <c r="F10">
        <v>11115</v>
      </c>
      <c r="G10">
        <v>10399</v>
      </c>
      <c r="H10">
        <v>-716</v>
      </c>
    </row>
    <row r="12" spans="2:10" x14ac:dyDescent="0.25">
      <c r="B12" t="s">
        <v>6</v>
      </c>
      <c r="C12">
        <v>441</v>
      </c>
      <c r="D12">
        <v>428</v>
      </c>
      <c r="E12">
        <v>340</v>
      </c>
      <c r="F12">
        <v>346</v>
      </c>
      <c r="G12">
        <v>365</v>
      </c>
      <c r="H12">
        <v>19</v>
      </c>
      <c r="I12">
        <v>1</v>
      </c>
      <c r="J12" t="s">
        <v>71</v>
      </c>
    </row>
    <row r="13" spans="2:10" x14ac:dyDescent="0.25">
      <c r="B13" t="s">
        <v>7</v>
      </c>
      <c r="C13">
        <v>7902</v>
      </c>
      <c r="D13">
        <v>7745</v>
      </c>
      <c r="E13">
        <v>7573</v>
      </c>
      <c r="F13">
        <v>7642</v>
      </c>
      <c r="G13">
        <v>6912</v>
      </c>
      <c r="H13">
        <v>-730</v>
      </c>
      <c r="I13">
        <v>1</v>
      </c>
      <c r="J13" t="s">
        <v>71</v>
      </c>
    </row>
    <row r="14" spans="2:10" x14ac:dyDescent="0.25">
      <c r="B14" t="s">
        <v>8</v>
      </c>
      <c r="C14">
        <v>2500</v>
      </c>
      <c r="D14">
        <v>2000</v>
      </c>
      <c r="E14">
        <v>1800</v>
      </c>
      <c r="F14">
        <v>1500</v>
      </c>
      <c r="G14">
        <v>1500</v>
      </c>
      <c r="H14">
        <v>0</v>
      </c>
      <c r="I14">
        <v>1</v>
      </c>
      <c r="J14" t="s">
        <v>71</v>
      </c>
    </row>
    <row r="15" spans="2:10" x14ac:dyDescent="0.25">
      <c r="B15" t="s">
        <v>9</v>
      </c>
      <c r="C15">
        <v>1569</v>
      </c>
      <c r="D15">
        <v>1599</v>
      </c>
      <c r="E15">
        <v>1538</v>
      </c>
      <c r="F15">
        <v>1627</v>
      </c>
      <c r="G15">
        <v>1622</v>
      </c>
      <c r="H15">
        <v>-5</v>
      </c>
      <c r="I15">
        <v>2</v>
      </c>
      <c r="J15" t="s">
        <v>71</v>
      </c>
    </row>
    <row r="17" spans="2:10" x14ac:dyDescent="0.25">
      <c r="B17" t="s">
        <v>10</v>
      </c>
      <c r="C17">
        <v>2475</v>
      </c>
      <c r="D17">
        <v>1833</v>
      </c>
      <c r="E17">
        <v>1890</v>
      </c>
      <c r="F17">
        <v>1906</v>
      </c>
      <c r="G17">
        <v>1892</v>
      </c>
      <c r="H17">
        <v>-14</v>
      </c>
    </row>
    <row r="19" spans="2:10" x14ac:dyDescent="0.25">
      <c r="B19" t="s">
        <v>11</v>
      </c>
      <c r="C19">
        <v>2390</v>
      </c>
      <c r="D19">
        <v>1747</v>
      </c>
      <c r="E19">
        <v>1803</v>
      </c>
      <c r="F19">
        <v>1803</v>
      </c>
      <c r="G19">
        <v>1803</v>
      </c>
      <c r="H19">
        <v>0</v>
      </c>
      <c r="I19">
        <v>1</v>
      </c>
      <c r="J19" t="s">
        <v>11</v>
      </c>
    </row>
    <row r="20" spans="2:10" x14ac:dyDescent="0.25">
      <c r="B20" t="s">
        <v>9</v>
      </c>
      <c r="C20">
        <v>85</v>
      </c>
      <c r="D20">
        <v>86</v>
      </c>
      <c r="E20">
        <v>87</v>
      </c>
      <c r="F20">
        <v>103</v>
      </c>
      <c r="G20">
        <v>89</v>
      </c>
      <c r="H20">
        <v>-14</v>
      </c>
      <c r="I20">
        <v>2</v>
      </c>
      <c r="J20" t="s">
        <v>11</v>
      </c>
    </row>
    <row r="22" spans="2:10" x14ac:dyDescent="0.25">
      <c r="B22" t="s">
        <v>12</v>
      </c>
      <c r="C22">
        <v>26023</v>
      </c>
      <c r="D22">
        <v>26491</v>
      </c>
      <c r="E22">
        <v>27003</v>
      </c>
      <c r="F22">
        <v>27889</v>
      </c>
      <c r="G22">
        <v>28182</v>
      </c>
      <c r="H22">
        <v>293</v>
      </c>
      <c r="I22">
        <v>1</v>
      </c>
      <c r="J22" t="s">
        <v>72</v>
      </c>
    </row>
    <row r="23" spans="2:10" x14ac:dyDescent="0.25">
      <c r="B23" t="s">
        <v>13</v>
      </c>
      <c r="C23">
        <v>4605</v>
      </c>
      <c r="D23">
        <v>4489</v>
      </c>
      <c r="E23">
        <v>4370</v>
      </c>
      <c r="F23">
        <v>4849</v>
      </c>
      <c r="G23">
        <v>4981</v>
      </c>
      <c r="H23">
        <v>132</v>
      </c>
      <c r="I23">
        <v>1</v>
      </c>
      <c r="J23" t="s">
        <v>72</v>
      </c>
    </row>
    <row r="24" spans="2:10" x14ac:dyDescent="0.25">
      <c r="B24" t="s">
        <v>14</v>
      </c>
      <c r="C24">
        <v>12841</v>
      </c>
      <c r="D24">
        <v>12829</v>
      </c>
      <c r="E24">
        <v>11315</v>
      </c>
      <c r="F24">
        <v>11322</v>
      </c>
      <c r="G24">
        <v>11519</v>
      </c>
      <c r="H24">
        <v>197</v>
      </c>
      <c r="J24" t="s">
        <v>72</v>
      </c>
    </row>
    <row r="25" spans="2:10" x14ac:dyDescent="0.25">
      <c r="B25" t="s">
        <v>15</v>
      </c>
      <c r="C25">
        <v>1100</v>
      </c>
      <c r="D25">
        <v>1100</v>
      </c>
      <c r="E25">
        <v>1100</v>
      </c>
      <c r="F25">
        <v>1100</v>
      </c>
      <c r="G25">
        <v>1100</v>
      </c>
      <c r="H25">
        <v>0</v>
      </c>
      <c r="I25">
        <v>1</v>
      </c>
      <c r="J25" t="s">
        <v>72</v>
      </c>
    </row>
    <row r="26" spans="2:10" x14ac:dyDescent="0.25">
      <c r="B26" t="s">
        <v>16</v>
      </c>
      <c r="C26">
        <v>2480</v>
      </c>
      <c r="D26">
        <v>2440</v>
      </c>
      <c r="E26">
        <v>2250</v>
      </c>
      <c r="F26">
        <v>2270</v>
      </c>
      <c r="G26">
        <v>2410</v>
      </c>
      <c r="H26">
        <v>140</v>
      </c>
      <c r="I26">
        <v>1</v>
      </c>
      <c r="J26" t="s">
        <v>72</v>
      </c>
    </row>
    <row r="27" spans="2:10" x14ac:dyDescent="0.25">
      <c r="B27" t="s">
        <v>17</v>
      </c>
      <c r="C27">
        <v>3600</v>
      </c>
      <c r="D27">
        <v>3600</v>
      </c>
      <c r="E27">
        <v>2700</v>
      </c>
      <c r="F27">
        <v>2700</v>
      </c>
      <c r="G27">
        <v>2700</v>
      </c>
      <c r="H27">
        <v>0</v>
      </c>
      <c r="I27">
        <v>1</v>
      </c>
      <c r="J27" t="s">
        <v>72</v>
      </c>
    </row>
    <row r="28" spans="2:10" x14ac:dyDescent="0.25">
      <c r="B28" t="s">
        <v>18</v>
      </c>
      <c r="C28">
        <v>4400</v>
      </c>
      <c r="D28">
        <v>4400</v>
      </c>
      <c r="E28">
        <v>4400</v>
      </c>
      <c r="F28">
        <v>4400</v>
      </c>
      <c r="G28">
        <v>4400</v>
      </c>
      <c r="H28">
        <v>0</v>
      </c>
      <c r="I28">
        <v>1</v>
      </c>
      <c r="J28" t="s">
        <v>72</v>
      </c>
    </row>
    <row r="29" spans="2:10" x14ac:dyDescent="0.25">
      <c r="B29" t="s">
        <v>9</v>
      </c>
      <c r="C29">
        <v>1261</v>
      </c>
      <c r="D29">
        <v>1289</v>
      </c>
      <c r="E29">
        <v>865</v>
      </c>
      <c r="F29">
        <v>852</v>
      </c>
      <c r="G29">
        <v>909</v>
      </c>
      <c r="H29">
        <v>57</v>
      </c>
      <c r="I29">
        <v>2</v>
      </c>
      <c r="J29" t="s">
        <v>72</v>
      </c>
    </row>
    <row r="31" spans="2:10" x14ac:dyDescent="0.25">
      <c r="B31" t="s">
        <v>19</v>
      </c>
      <c r="C31">
        <v>330719</v>
      </c>
      <c r="D31">
        <v>340481</v>
      </c>
      <c r="E31">
        <v>342265</v>
      </c>
      <c r="F31">
        <v>343616</v>
      </c>
      <c r="G31">
        <v>344883</v>
      </c>
      <c r="H31">
        <v>1267</v>
      </c>
    </row>
    <row r="33" spans="2:10" x14ac:dyDescent="0.25">
      <c r="B33" t="s">
        <v>20</v>
      </c>
      <c r="C33">
        <v>2483</v>
      </c>
      <c r="D33">
        <v>2411</v>
      </c>
      <c r="E33">
        <v>2838</v>
      </c>
      <c r="F33">
        <v>2924</v>
      </c>
      <c r="G33">
        <v>2999</v>
      </c>
      <c r="H33">
        <v>75</v>
      </c>
      <c r="I33">
        <v>1</v>
      </c>
      <c r="J33" t="s">
        <v>70</v>
      </c>
    </row>
    <row r="34" spans="2:10" x14ac:dyDescent="0.25">
      <c r="B34" t="s">
        <v>21</v>
      </c>
      <c r="C34">
        <v>12715</v>
      </c>
      <c r="D34">
        <v>11890</v>
      </c>
      <c r="E34">
        <v>13242</v>
      </c>
      <c r="F34">
        <v>14856</v>
      </c>
      <c r="G34">
        <v>15894</v>
      </c>
      <c r="H34">
        <v>1038</v>
      </c>
      <c r="I34">
        <v>1</v>
      </c>
      <c r="J34" t="s">
        <v>70</v>
      </c>
    </row>
    <row r="35" spans="2:10" x14ac:dyDescent="0.25">
      <c r="B35" t="s">
        <v>22</v>
      </c>
      <c r="C35">
        <v>2036</v>
      </c>
      <c r="D35">
        <v>1820</v>
      </c>
      <c r="E35">
        <v>2040</v>
      </c>
      <c r="F35">
        <v>2074</v>
      </c>
      <c r="G35">
        <v>2019</v>
      </c>
      <c r="H35">
        <v>-55</v>
      </c>
      <c r="I35">
        <v>1</v>
      </c>
      <c r="J35" t="s">
        <v>70</v>
      </c>
    </row>
    <row r="36" spans="2:10" x14ac:dyDescent="0.25">
      <c r="B36" t="s">
        <v>23</v>
      </c>
      <c r="C36">
        <v>8273</v>
      </c>
      <c r="D36">
        <v>8273</v>
      </c>
      <c r="E36">
        <v>8273</v>
      </c>
      <c r="F36">
        <v>8273</v>
      </c>
      <c r="G36">
        <v>8273</v>
      </c>
      <c r="H36">
        <v>0</v>
      </c>
      <c r="I36">
        <v>1</v>
      </c>
      <c r="J36" t="s">
        <v>70</v>
      </c>
    </row>
    <row r="37" spans="2:10" x14ac:dyDescent="0.25">
      <c r="B37" t="s">
        <v>24</v>
      </c>
      <c r="C37">
        <v>303561</v>
      </c>
      <c r="D37">
        <v>303468</v>
      </c>
      <c r="E37">
        <v>303221</v>
      </c>
      <c r="F37">
        <v>303008</v>
      </c>
      <c r="G37">
        <v>303221</v>
      </c>
      <c r="H37">
        <v>213</v>
      </c>
      <c r="I37">
        <v>1</v>
      </c>
      <c r="J37" t="s">
        <v>70</v>
      </c>
    </row>
    <row r="38" spans="2:10" x14ac:dyDescent="0.25">
      <c r="B38" t="s">
        <v>9</v>
      </c>
      <c r="C38">
        <v>1651</v>
      </c>
      <c r="D38">
        <v>12619</v>
      </c>
      <c r="E38">
        <v>12651</v>
      </c>
      <c r="F38">
        <v>12481</v>
      </c>
      <c r="G38">
        <v>12477</v>
      </c>
      <c r="H38">
        <v>-4</v>
      </c>
      <c r="I38">
        <v>2</v>
      </c>
      <c r="J38" t="s">
        <v>70</v>
      </c>
    </row>
    <row r="40" spans="2:10" x14ac:dyDescent="0.25">
      <c r="B40" t="s">
        <v>25</v>
      </c>
      <c r="C40">
        <v>865519</v>
      </c>
      <c r="D40">
        <v>869612</v>
      </c>
      <c r="E40">
        <v>871095</v>
      </c>
      <c r="F40">
        <v>871182</v>
      </c>
      <c r="G40">
        <v>871218</v>
      </c>
      <c r="H40">
        <v>36</v>
      </c>
    </row>
    <row r="42" spans="2:10" x14ac:dyDescent="0.25">
      <c r="B42" t="s">
        <v>26</v>
      </c>
      <c r="C42">
        <v>208600</v>
      </c>
      <c r="D42">
        <v>208600</v>
      </c>
      <c r="E42">
        <v>208600</v>
      </c>
      <c r="F42">
        <v>208600</v>
      </c>
      <c r="G42">
        <v>208600</v>
      </c>
      <c r="H42">
        <v>0</v>
      </c>
      <c r="I42">
        <v>1</v>
      </c>
      <c r="J42" t="s">
        <v>72</v>
      </c>
    </row>
    <row r="43" spans="2:10" x14ac:dyDescent="0.25">
      <c r="B43" t="s">
        <v>27</v>
      </c>
      <c r="C43">
        <v>145019</v>
      </c>
      <c r="D43">
        <v>145019</v>
      </c>
      <c r="E43">
        <v>145019</v>
      </c>
      <c r="F43">
        <v>145019</v>
      </c>
      <c r="G43">
        <v>145019</v>
      </c>
      <c r="H43">
        <v>0</v>
      </c>
      <c r="I43">
        <v>1</v>
      </c>
      <c r="J43" t="s">
        <v>72</v>
      </c>
    </row>
    <row r="44" spans="2:10" x14ac:dyDescent="0.25">
      <c r="B44" t="s">
        <v>28</v>
      </c>
      <c r="C44">
        <v>101500</v>
      </c>
      <c r="D44">
        <v>101500</v>
      </c>
      <c r="E44">
        <v>101500</v>
      </c>
      <c r="F44">
        <v>101500</v>
      </c>
      <c r="G44">
        <v>101500</v>
      </c>
      <c r="H44">
        <v>0</v>
      </c>
      <c r="I44">
        <v>1</v>
      </c>
      <c r="J44" t="s">
        <v>72</v>
      </c>
    </row>
    <row r="45" spans="2:10" x14ac:dyDescent="0.25">
      <c r="B45" t="s">
        <v>29</v>
      </c>
      <c r="C45">
        <v>5373</v>
      </c>
      <c r="D45">
        <v>5373</v>
      </c>
      <c r="E45">
        <v>4856</v>
      </c>
      <c r="F45">
        <v>4905</v>
      </c>
      <c r="G45">
        <v>4971</v>
      </c>
      <c r="H45">
        <v>66</v>
      </c>
      <c r="I45">
        <v>1</v>
      </c>
      <c r="J45" t="s">
        <v>72</v>
      </c>
    </row>
    <row r="46" spans="2:10" x14ac:dyDescent="0.25">
      <c r="B46" t="s">
        <v>30</v>
      </c>
      <c r="C46">
        <v>25244</v>
      </c>
      <c r="D46">
        <v>25244</v>
      </c>
      <c r="E46">
        <v>25244</v>
      </c>
      <c r="F46">
        <v>25244</v>
      </c>
      <c r="G46">
        <v>25244</v>
      </c>
      <c r="H46">
        <v>0</v>
      </c>
      <c r="I46">
        <v>1</v>
      </c>
      <c r="J46" t="s">
        <v>72</v>
      </c>
    </row>
    <row r="47" spans="2:10" x14ac:dyDescent="0.25">
      <c r="B47" t="s">
        <v>31</v>
      </c>
      <c r="C47">
        <v>267082</v>
      </c>
      <c r="D47">
        <v>267192</v>
      </c>
      <c r="E47">
        <v>267192</v>
      </c>
      <c r="F47">
        <v>267230</v>
      </c>
      <c r="G47">
        <v>267200</v>
      </c>
      <c r="H47">
        <v>-30</v>
      </c>
      <c r="I47">
        <v>1</v>
      </c>
      <c r="J47" t="s">
        <v>72</v>
      </c>
    </row>
    <row r="48" spans="2:10" x14ac:dyDescent="0.25">
      <c r="B48" t="s">
        <v>32</v>
      </c>
      <c r="C48">
        <v>107000</v>
      </c>
      <c r="D48">
        <v>111000</v>
      </c>
      <c r="E48">
        <v>113000</v>
      </c>
      <c r="F48">
        <v>113000</v>
      </c>
      <c r="G48">
        <v>113000</v>
      </c>
      <c r="H48">
        <v>0</v>
      </c>
      <c r="I48">
        <v>1</v>
      </c>
      <c r="J48" t="s">
        <v>72</v>
      </c>
    </row>
    <row r="49" spans="2:10" x14ac:dyDescent="0.25">
      <c r="B49" t="s">
        <v>9</v>
      </c>
      <c r="C49">
        <v>5701</v>
      </c>
      <c r="D49">
        <v>5684</v>
      </c>
      <c r="E49">
        <v>5684</v>
      </c>
      <c r="F49">
        <v>5684</v>
      </c>
      <c r="G49">
        <v>5684</v>
      </c>
      <c r="H49">
        <v>0</v>
      </c>
      <c r="I49">
        <v>2</v>
      </c>
      <c r="J49" t="s">
        <v>72</v>
      </c>
    </row>
    <row r="51" spans="2:10" x14ac:dyDescent="0.25">
      <c r="B51" t="s">
        <v>33</v>
      </c>
      <c r="C51">
        <v>123449</v>
      </c>
      <c r="D51">
        <v>119099</v>
      </c>
      <c r="E51">
        <v>119050</v>
      </c>
      <c r="F51">
        <v>119583</v>
      </c>
      <c r="G51">
        <v>119363</v>
      </c>
      <c r="H51">
        <v>-220</v>
      </c>
    </row>
    <row r="53" spans="2:10" x14ac:dyDescent="0.25">
      <c r="B53" t="s">
        <v>34</v>
      </c>
      <c r="C53">
        <v>12200</v>
      </c>
      <c r="D53">
        <v>12200</v>
      </c>
      <c r="E53">
        <v>12200</v>
      </c>
      <c r="F53">
        <v>12200</v>
      </c>
      <c r="G53">
        <v>12200</v>
      </c>
      <c r="H53">
        <v>0</v>
      </c>
      <c r="I53">
        <v>1</v>
      </c>
      <c r="J53" t="s">
        <v>33</v>
      </c>
    </row>
    <row r="54" spans="2:10" x14ac:dyDescent="0.25">
      <c r="B54" t="s">
        <v>35</v>
      </c>
      <c r="C54">
        <v>7231</v>
      </c>
      <c r="D54">
        <v>2516</v>
      </c>
      <c r="E54">
        <v>2550</v>
      </c>
      <c r="F54">
        <v>2550</v>
      </c>
      <c r="G54">
        <v>2550</v>
      </c>
      <c r="H54">
        <v>0</v>
      </c>
      <c r="I54">
        <v>1</v>
      </c>
      <c r="J54" t="s">
        <v>33</v>
      </c>
    </row>
    <row r="55" spans="2:10" x14ac:dyDescent="0.25">
      <c r="B55" t="s">
        <v>36</v>
      </c>
      <c r="C55">
        <v>1811</v>
      </c>
      <c r="D55">
        <v>1811</v>
      </c>
      <c r="E55">
        <v>1811</v>
      </c>
      <c r="F55">
        <v>1811</v>
      </c>
      <c r="G55">
        <v>1811</v>
      </c>
      <c r="H55">
        <v>0</v>
      </c>
      <c r="I55">
        <v>1</v>
      </c>
      <c r="J55" t="s">
        <v>33</v>
      </c>
    </row>
    <row r="56" spans="2:10" x14ac:dyDescent="0.25">
      <c r="B56" t="s">
        <v>37</v>
      </c>
      <c r="C56">
        <v>3075</v>
      </c>
      <c r="D56">
        <v>3300</v>
      </c>
      <c r="E56">
        <v>3300</v>
      </c>
      <c r="F56">
        <v>3300</v>
      </c>
      <c r="G56">
        <v>3300</v>
      </c>
      <c r="H56">
        <v>0</v>
      </c>
      <c r="I56">
        <v>1</v>
      </c>
      <c r="J56" t="s">
        <v>33</v>
      </c>
    </row>
    <row r="57" spans="2:10" x14ac:dyDescent="0.25">
      <c r="B57" t="s">
        <v>38</v>
      </c>
      <c r="C57">
        <v>1100</v>
      </c>
      <c r="D57">
        <v>1100</v>
      </c>
      <c r="E57">
        <v>1100</v>
      </c>
      <c r="F57">
        <v>1100</v>
      </c>
      <c r="G57">
        <v>1100</v>
      </c>
      <c r="H57">
        <v>0</v>
      </c>
      <c r="I57">
        <v>1</v>
      </c>
      <c r="J57" t="s">
        <v>33</v>
      </c>
    </row>
    <row r="58" spans="2:10" x14ac:dyDescent="0.25">
      <c r="B58" t="s">
        <v>39</v>
      </c>
      <c r="C58">
        <v>2000</v>
      </c>
      <c r="D58">
        <v>2000</v>
      </c>
      <c r="E58">
        <v>2000</v>
      </c>
      <c r="F58">
        <v>2000</v>
      </c>
      <c r="G58">
        <v>2000</v>
      </c>
      <c r="H58">
        <v>0</v>
      </c>
      <c r="I58">
        <v>1</v>
      </c>
      <c r="J58" t="s">
        <v>33</v>
      </c>
    </row>
    <row r="59" spans="2:10" x14ac:dyDescent="0.25">
      <c r="B59" t="s">
        <v>40</v>
      </c>
      <c r="C59">
        <v>48363</v>
      </c>
      <c r="D59">
        <v>48363</v>
      </c>
      <c r="E59">
        <v>48363</v>
      </c>
      <c r="F59">
        <v>48363</v>
      </c>
      <c r="G59">
        <v>48363</v>
      </c>
      <c r="H59">
        <v>0</v>
      </c>
      <c r="I59">
        <v>1</v>
      </c>
      <c r="J59" t="s">
        <v>33</v>
      </c>
    </row>
    <row r="60" spans="2:10" x14ac:dyDescent="0.25">
      <c r="B60" t="s">
        <v>41</v>
      </c>
      <c r="C60">
        <v>36910</v>
      </c>
      <c r="D60">
        <v>37050</v>
      </c>
      <c r="E60">
        <v>36967</v>
      </c>
      <c r="F60">
        <v>37500</v>
      </c>
      <c r="G60">
        <v>37280</v>
      </c>
      <c r="H60">
        <v>-220</v>
      </c>
      <c r="I60">
        <v>1</v>
      </c>
      <c r="J60" t="s">
        <v>33</v>
      </c>
    </row>
    <row r="61" spans="2:10" x14ac:dyDescent="0.25">
      <c r="B61" t="s">
        <v>42</v>
      </c>
      <c r="C61">
        <v>5000</v>
      </c>
      <c r="D61">
        <v>5000</v>
      </c>
      <c r="E61">
        <v>5000</v>
      </c>
      <c r="F61">
        <v>5000</v>
      </c>
      <c r="G61">
        <v>5000</v>
      </c>
      <c r="H61">
        <v>0</v>
      </c>
      <c r="I61">
        <v>1</v>
      </c>
      <c r="J61" t="s">
        <v>33</v>
      </c>
    </row>
    <row r="62" spans="2:10" x14ac:dyDescent="0.25">
      <c r="B62" t="s">
        <v>9</v>
      </c>
      <c r="C62">
        <v>5759</v>
      </c>
      <c r="D62">
        <v>5759</v>
      </c>
      <c r="E62">
        <v>5759</v>
      </c>
      <c r="F62">
        <v>5759</v>
      </c>
      <c r="G62">
        <v>5759</v>
      </c>
      <c r="H62">
        <v>0</v>
      </c>
      <c r="I62">
        <v>2</v>
      </c>
      <c r="J62" t="s">
        <v>33</v>
      </c>
    </row>
    <row r="64" spans="2:10" x14ac:dyDescent="0.25">
      <c r="B64" t="s">
        <v>43</v>
      </c>
      <c r="C64">
        <v>80000</v>
      </c>
      <c r="D64">
        <v>80000</v>
      </c>
      <c r="E64">
        <v>80000</v>
      </c>
      <c r="F64">
        <v>80000</v>
      </c>
      <c r="G64">
        <v>80000</v>
      </c>
      <c r="H64">
        <v>0</v>
      </c>
      <c r="I64">
        <v>1</v>
      </c>
      <c r="J64" t="s">
        <v>72</v>
      </c>
    </row>
    <row r="66" spans="2:10" x14ac:dyDescent="0.25">
      <c r="B66" t="s">
        <v>44</v>
      </c>
      <c r="C66">
        <v>38874</v>
      </c>
      <c r="D66">
        <v>38874</v>
      </c>
      <c r="E66">
        <v>38874</v>
      </c>
      <c r="F66">
        <v>38874</v>
      </c>
      <c r="G66">
        <v>38874</v>
      </c>
      <c r="H66">
        <v>0</v>
      </c>
    </row>
    <row r="68" spans="2:10" x14ac:dyDescent="0.25">
      <c r="B68" t="s">
        <v>45</v>
      </c>
      <c r="C68">
        <v>7000</v>
      </c>
      <c r="D68">
        <v>7000</v>
      </c>
      <c r="E68">
        <v>7000</v>
      </c>
      <c r="F68">
        <v>7000</v>
      </c>
      <c r="G68">
        <v>7000</v>
      </c>
      <c r="H68">
        <v>0</v>
      </c>
      <c r="I68">
        <v>1</v>
      </c>
      <c r="J68" t="s">
        <v>72</v>
      </c>
    </row>
    <row r="69" spans="2:10" x14ac:dyDescent="0.25">
      <c r="B69" t="s">
        <v>46</v>
      </c>
      <c r="C69">
        <v>198</v>
      </c>
      <c r="D69">
        <v>198</v>
      </c>
      <c r="E69">
        <v>198</v>
      </c>
      <c r="F69">
        <v>198</v>
      </c>
      <c r="G69">
        <v>198</v>
      </c>
      <c r="H69">
        <v>0</v>
      </c>
      <c r="I69">
        <v>1</v>
      </c>
      <c r="J69" t="s">
        <v>72</v>
      </c>
    </row>
    <row r="70" spans="2:10" x14ac:dyDescent="0.25">
      <c r="B70" t="s">
        <v>47</v>
      </c>
      <c r="C70">
        <v>30000</v>
      </c>
      <c r="D70">
        <v>30000</v>
      </c>
      <c r="E70">
        <v>30000</v>
      </c>
      <c r="F70">
        <v>30000</v>
      </c>
      <c r="G70">
        <v>30000</v>
      </c>
      <c r="H70">
        <v>0</v>
      </c>
      <c r="I70">
        <v>1</v>
      </c>
      <c r="J70" t="s">
        <v>72</v>
      </c>
    </row>
    <row r="71" spans="2:10" x14ac:dyDescent="0.25">
      <c r="B71" t="s">
        <v>48</v>
      </c>
      <c r="C71">
        <v>600</v>
      </c>
      <c r="D71">
        <v>600</v>
      </c>
      <c r="E71">
        <v>600</v>
      </c>
      <c r="F71">
        <v>600</v>
      </c>
      <c r="G71">
        <v>600</v>
      </c>
      <c r="H71">
        <v>0</v>
      </c>
      <c r="I71">
        <v>1</v>
      </c>
      <c r="J71" t="s">
        <v>72</v>
      </c>
    </row>
    <row r="72" spans="2:10" x14ac:dyDescent="0.25">
      <c r="B72" t="s">
        <v>49</v>
      </c>
      <c r="C72">
        <v>395</v>
      </c>
      <c r="D72">
        <v>395</v>
      </c>
      <c r="E72">
        <v>395</v>
      </c>
      <c r="F72">
        <v>395</v>
      </c>
      <c r="G72">
        <v>395</v>
      </c>
      <c r="H72">
        <v>0</v>
      </c>
      <c r="I72">
        <v>1</v>
      </c>
      <c r="J72" t="s">
        <v>72</v>
      </c>
    </row>
    <row r="73" spans="2:10" x14ac:dyDescent="0.25">
      <c r="B73" t="s">
        <v>50</v>
      </c>
      <c r="C73">
        <v>594</v>
      </c>
      <c r="D73">
        <v>594</v>
      </c>
      <c r="E73">
        <v>594</v>
      </c>
      <c r="F73">
        <v>594</v>
      </c>
      <c r="G73">
        <v>594</v>
      </c>
      <c r="H73">
        <v>0</v>
      </c>
      <c r="I73">
        <v>1</v>
      </c>
      <c r="J73" t="s">
        <v>72</v>
      </c>
    </row>
    <row r="74" spans="2:10" x14ac:dyDescent="0.25">
      <c r="B74" t="s">
        <v>9</v>
      </c>
      <c r="C74">
        <v>87</v>
      </c>
      <c r="D74">
        <v>87</v>
      </c>
      <c r="E74">
        <v>87</v>
      </c>
      <c r="F74">
        <v>87</v>
      </c>
      <c r="G74">
        <v>87</v>
      </c>
      <c r="H74">
        <v>0</v>
      </c>
      <c r="I74">
        <v>2</v>
      </c>
      <c r="J74" t="s">
        <v>72</v>
      </c>
    </row>
    <row r="75" spans="2:10" x14ac:dyDescent="0.25">
      <c r="B75" t="s">
        <v>51</v>
      </c>
      <c r="C75">
        <v>914</v>
      </c>
      <c r="D75">
        <v>914</v>
      </c>
      <c r="E75">
        <v>914</v>
      </c>
      <c r="F75">
        <v>914</v>
      </c>
      <c r="G75">
        <v>914</v>
      </c>
      <c r="H75">
        <v>0</v>
      </c>
      <c r="I75">
        <v>2</v>
      </c>
      <c r="J75" t="s">
        <v>71</v>
      </c>
    </row>
    <row r="76" spans="2:10" x14ac:dyDescent="0.25">
      <c r="B76" t="s">
        <v>66</v>
      </c>
      <c r="C76">
        <f>SUBTOTAL(109,Table1[2020])</f>
        <v>2975684</v>
      </c>
      <c r="D76">
        <f>SUBTOTAL(109,Table1[2021])</f>
        <v>3005284</v>
      </c>
      <c r="E76">
        <f>SUBTOTAL(109,Table1[2022])</f>
        <v>3014451</v>
      </c>
      <c r="F76">
        <f>SUBTOTAL(109,Table1[2023])</f>
        <v>3015406</v>
      </c>
      <c r="G76">
        <f>SUBTOTAL(109,Table1[2024])</f>
        <v>3019661</v>
      </c>
      <c r="H76">
        <f>SUBTOTAL(109,Table1[change24/23])</f>
        <v>4255</v>
      </c>
      <c r="I76">
        <f>SUBTOTAL(109,Table1[Country])</f>
        <v>58</v>
      </c>
    </row>
    <row r="77" spans="2:10" s="1" customFormat="1" x14ac:dyDescent="0.25">
      <c r="B77"/>
      <c r="C77"/>
      <c r="D77"/>
      <c r="E77"/>
      <c r="F77"/>
      <c r="G77"/>
      <c r="H77"/>
      <c r="I77"/>
    </row>
    <row r="78" spans="2:10" x14ac:dyDescent="0.25">
      <c r="B78" s="1" t="s">
        <v>52</v>
      </c>
      <c r="C78" s="1">
        <v>1543613</v>
      </c>
      <c r="D78" s="1">
        <v>1558589</v>
      </c>
      <c r="E78" s="1">
        <v>1563369</v>
      </c>
      <c r="F78" s="1">
        <v>1564529</v>
      </c>
      <c r="G78" s="1">
        <v>1566869</v>
      </c>
      <c r="H78" s="1">
        <v>2340</v>
      </c>
      <c r="I78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Basak</dc:creator>
  <cp:lastModifiedBy>Palash Basak</cp:lastModifiedBy>
  <dcterms:created xsi:type="dcterms:W3CDTF">2026-01-04T05:27:37Z</dcterms:created>
  <dcterms:modified xsi:type="dcterms:W3CDTF">2026-01-04T05:53:24Z</dcterms:modified>
</cp:coreProperties>
</file>